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E903CDAF4BD63AF/Documents/"/>
    </mc:Choice>
  </mc:AlternateContent>
  <xr:revisionPtr revIDLastSave="0" documentId="8_{08C9DBA6-3A1F-4C0E-8A0D-BF84BD003DE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2" l="1"/>
  <c r="J6" i="2" s="1"/>
  <c r="I7" i="2"/>
  <c r="J7" i="2" s="1"/>
  <c r="I9" i="2"/>
  <c r="J9" i="2" s="1"/>
  <c r="I8" i="2"/>
  <c r="J8" i="2" s="1"/>
  <c r="I10" i="2"/>
  <c r="J10" i="2" s="1"/>
  <c r="J11" i="2"/>
  <c r="J13" i="2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J29" i="2"/>
  <c r="I28" i="2"/>
  <c r="J28" i="2" s="1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2" i="2"/>
</calcChain>
</file>

<file path=xl/sharedStrings.xml><?xml version="1.0" encoding="utf-8"?>
<sst xmlns="http://schemas.openxmlformats.org/spreadsheetml/2006/main" count="203" uniqueCount="92">
  <si>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</si>
  <si>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</si>
  <si>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</si>
  <si>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</si>
  <si>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</si>
  <si>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</si>
  <si>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</si>
  <si>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</si>
  <si>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</si>
  <si>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</si>
  <si>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</si>
  <si>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</si>
  <si>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</si>
  <si>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</si>
  <si>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</si>
  <si>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</si>
  <si>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</si>
  <si>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</si>
  <si>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</si>
  <si>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</si>
  <si>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</si>
  <si>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</si>
  <si>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</si>
  <si>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</si>
  <si>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</si>
  <si>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</si>
  <si>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</si>
  <si>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</si>
  <si>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</si>
  <si>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</si>
  <si>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</si>
  <si>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</si>
  <si>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</si>
  <si>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</si>
  <si>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</si>
  <si>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</si>
  <si>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</si>
  <si>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</si>
  <si>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</si>
  <si>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</si>
  <si>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</si>
  <si>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</si>
  <si>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</si>
  <si>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</si>
  <si>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</si>
  <si>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</si>
  <si>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</si>
  <si>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</si>
  <si>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</si>
  <si>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</si>
  <si>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</si>
  <si>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</si>
  <si>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</si>
  <si>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Rumpa Rani Bera</t>
  </si>
  <si>
    <t>August</t>
  </si>
  <si>
    <t>MCA-Programming in Python / D1P2632</t>
  </si>
  <si>
    <t xml:space="preserve"> </t>
  </si>
  <si>
    <t>Neutral</t>
  </si>
  <si>
    <t>Low</t>
  </si>
  <si>
    <t>High</t>
  </si>
  <si>
    <t>Tired</t>
  </si>
  <si>
    <t>Attended Tuesday classes; revised practical work and completed codding practice.</t>
  </si>
  <si>
    <t>statisfied</t>
  </si>
  <si>
    <t>Netural</t>
  </si>
  <si>
    <t>Nervous about today's Python Mars demo CA test. Reviewed the concepts and tried to stay confident.</t>
  </si>
  <si>
    <t>Felt a bit tired.</t>
  </si>
  <si>
    <t>Felt good today.</t>
  </si>
  <si>
    <t>Busy with classes.</t>
  </si>
  <si>
    <t>Slightly tired.</t>
  </si>
  <si>
    <t xml:space="preserve"> Good progress today.</t>
  </si>
  <si>
    <t>Weekend self-study and coding.</t>
  </si>
  <si>
    <t>Attended all classes.</t>
  </si>
  <si>
    <t>Tired but satisfied.</t>
  </si>
  <si>
    <t>Relaxed after class.</t>
  </si>
  <si>
    <t>Focused on studied.</t>
  </si>
  <si>
    <t>Atteneded all Classes.</t>
  </si>
  <si>
    <t>Heavy class schedule.</t>
  </si>
  <si>
    <t>Overall good day.</t>
  </si>
  <si>
    <t>Worked on coding.</t>
  </si>
  <si>
    <t>Heavy day Attended all Classes and  practiced coding afterward.</t>
  </si>
  <si>
    <t>Attended Thursday classes revised practical work and completed codding practice.</t>
  </si>
  <si>
    <t>Attended all classes, Felt good today.</t>
  </si>
  <si>
    <t>Saturday holiday spent extra time studying and working on coding exercieses.</t>
  </si>
  <si>
    <t>Sunday holiday revised coursework and practiced python code.</t>
  </si>
  <si>
    <t>Heavy day but attended all classes.</t>
  </si>
  <si>
    <t>Very Satisfied</t>
  </si>
  <si>
    <t>Stressed</t>
  </si>
  <si>
    <t>A little sleepy.</t>
  </si>
  <si>
    <t>Had a normal day.</t>
  </si>
  <si>
    <t>Focoused on self-study and working on pending task.</t>
  </si>
  <si>
    <t>Good balanced today.</t>
  </si>
  <si>
    <t>A bit tired but okay.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</si>
</sst>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theme="1"/>
      <name val="Calibri"/>
      <family val="2"/>
      <charset val="1"/>
    </font>
    <font>
      <sz val="11"/>
      <color theme="1"/>
      <name val="Arial"/>
      <family val="2"/>
    </font>
    <font>
      <sz val="10"/>
      <color theme="1"/>
      <name val="Calibri"/>
      <family val="2"/>
      <charset val="1"/>
    </font>
    <font>
      <sz val="10"/>
      <color theme="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1" fillId="4" borderId="3" applyNumberFormat="0" applyFont="0" applyAlignment="0" applyProtection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0" xfId="0" applyFont="1"/>
    <xf numFmtId="164" fontId="12" fillId="2" borderId="1" xfId="0" applyNumberFormat="1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3" fillId="0" borderId="0" xfId="0" applyFont="1"/>
    <xf numFmtId="164" fontId="14" fillId="2" borderId="1" xfId="0" applyNumberFormat="1" applyFont="1" applyFill="1" applyBorder="1" applyAlignment="1">
      <alignment horizontal="center" vertical="center" wrapText="1"/>
    </xf>
    <xf numFmtId="1" fontId="14" fillId="2" borderId="1" xfId="0" applyNumberFormat="1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0" fontId="12" fillId="0" borderId="0" xfId="0" applyFont="1"/>
    <xf numFmtId="164" fontId="0" fillId="2" borderId="1" xfId="0" applyNumberFormat="1" applyFont="1" applyFill="1" applyBorder="1" applyAlignment="1">
      <alignment horizontal="center" vertical="center" wrapText="1"/>
    </xf>
    <xf numFmtId="0" fontId="0" fillId="5" borderId="3" xfId="1" applyFont="1" applyFill="1" applyAlignment="1">
      <alignment horizontal="center" vertical="center"/>
    </xf>
    <xf numFmtId="0" fontId="0" fillId="5" borderId="0" xfId="0" applyFill="1" applyAlignment="1">
      <alignment horizontal="center"/>
    </xf>
  </cellXfs>
  <cellStyles count="2">
    <cellStyle name="Normal" xfId="0" builtinId="0"/>
    <cellStyle name="Note" xfId="1" builtinId="1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2"/>
  <sheetViews>
    <sheetView showGridLines="0" tabSelected="1" zoomScale="89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O42" sqref="O42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5" ht="21.75" customHeight="1" x14ac:dyDescent="0.3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5" ht="19.5" customHeight="1" x14ac:dyDescent="0.3">
      <c r="A2" s="6" t="s">
        <v>30</v>
      </c>
      <c r="B2" s="15" t="s">
        <v>53</v>
      </c>
      <c r="C2" s="15"/>
      <c r="D2" s="15"/>
      <c r="E2" s="6" t="s">
        <v>31</v>
      </c>
      <c r="F2" s="16">
        <v>12609520</v>
      </c>
      <c r="G2" s="17"/>
    </row>
    <row r="3" spans="1:15" ht="19.5" customHeight="1" x14ac:dyDescent="0.3">
      <c r="A3" s="6" t="s">
        <v>32</v>
      </c>
      <c r="B3" s="15" t="s">
        <v>55</v>
      </c>
      <c r="C3" s="15"/>
      <c r="D3" s="15"/>
      <c r="E3" s="6" t="s">
        <v>33</v>
      </c>
      <c r="F3" s="15" t="s">
        <v>54</v>
      </c>
      <c r="G3" s="15"/>
      <c r="K3" t="s">
        <v>56</v>
      </c>
    </row>
    <row r="4" spans="1:15" x14ac:dyDescent="0.3">
      <c r="A4" s="13" t="s">
        <v>34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5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5" s="18" customFormat="1" ht="20.399999999999999" customHeight="1" x14ac:dyDescent="0.3">
      <c r="A6" s="19">
        <v>46251</v>
      </c>
      <c r="B6" s="20">
        <v>390</v>
      </c>
      <c r="C6" s="20">
        <v>15</v>
      </c>
      <c r="D6" s="20">
        <v>55</v>
      </c>
      <c r="E6" s="20">
        <v>70</v>
      </c>
      <c r="F6" s="20">
        <v>300</v>
      </c>
      <c r="G6" s="20">
        <v>6</v>
      </c>
      <c r="H6" s="20">
        <v>300</v>
      </c>
      <c r="I6" s="21">
        <f>IF(SUM(B6:F6,H6)=0,"",SUM(B6:F6,H6))</f>
        <v>1130</v>
      </c>
      <c r="J6" s="21">
        <f>IF(I6="","",1440-I6)</f>
        <v>310</v>
      </c>
      <c r="K6" s="22" t="s">
        <v>58</v>
      </c>
      <c r="L6" s="22" t="s">
        <v>57</v>
      </c>
      <c r="M6" s="22" t="s">
        <v>58</v>
      </c>
      <c r="N6" s="23" t="s">
        <v>65</v>
      </c>
    </row>
    <row r="7" spans="1:15" s="24" customFormat="1" ht="13.8" x14ac:dyDescent="0.3">
      <c r="A7" s="25">
        <v>46252</v>
      </c>
      <c r="B7" s="26">
        <v>450</v>
      </c>
      <c r="C7" s="26">
        <v>30</v>
      </c>
      <c r="D7" s="26">
        <v>75</v>
      </c>
      <c r="E7" s="26">
        <v>75</v>
      </c>
      <c r="F7" s="26">
        <v>400</v>
      </c>
      <c r="G7" s="26">
        <v>6</v>
      </c>
      <c r="H7" s="26">
        <v>252</v>
      </c>
      <c r="I7" s="27">
        <f>IF(SUM(B7:F7,H7)=0,"",SUM(B7:F7,H7))</f>
        <v>1282</v>
      </c>
      <c r="J7" s="27">
        <f>IF(I7="","",1440-I7)</f>
        <v>158</v>
      </c>
      <c r="K7" s="28" t="s">
        <v>49</v>
      </c>
      <c r="L7" s="28" t="s">
        <v>50</v>
      </c>
      <c r="M7" s="28" t="s">
        <v>51</v>
      </c>
      <c r="N7" s="29" t="s">
        <v>66</v>
      </c>
    </row>
    <row r="8" spans="1:15" s="31" customFormat="1" ht="13.8" x14ac:dyDescent="0.25">
      <c r="A8" s="19">
        <v>46253</v>
      </c>
      <c r="B8" s="20">
        <v>450</v>
      </c>
      <c r="C8" s="20">
        <v>30</v>
      </c>
      <c r="D8" s="20">
        <v>75</v>
      </c>
      <c r="E8" s="20">
        <v>75</v>
      </c>
      <c r="F8" s="20">
        <v>400</v>
      </c>
      <c r="G8" s="20">
        <v>8</v>
      </c>
      <c r="H8" s="20">
        <v>252</v>
      </c>
      <c r="I8" s="30">
        <f t="shared" ref="I8:I70" si="0">IF(SUM(B8:F8,H8)=0,"",SUM(B8:F8,H8))</f>
        <v>1282</v>
      </c>
      <c r="J8" s="30">
        <f t="shared" ref="J8:J70" si="1">IF(I8="","",1440-I8)</f>
        <v>158</v>
      </c>
      <c r="K8" s="22" t="s">
        <v>57</v>
      </c>
      <c r="L8" s="22" t="s">
        <v>50</v>
      </c>
      <c r="M8" s="22" t="s">
        <v>58</v>
      </c>
      <c r="N8" s="23" t="s">
        <v>67</v>
      </c>
    </row>
    <row r="9" spans="1:15" s="31" customFormat="1" ht="13.8" x14ac:dyDescent="0.25">
      <c r="A9" s="19">
        <v>46254</v>
      </c>
      <c r="B9" s="20">
        <v>450</v>
      </c>
      <c r="C9" s="20">
        <v>30</v>
      </c>
      <c r="D9" s="20">
        <v>80</v>
      </c>
      <c r="E9" s="20">
        <v>75</v>
      </c>
      <c r="F9" s="20">
        <v>350</v>
      </c>
      <c r="G9" s="20">
        <v>5</v>
      </c>
      <c r="H9" s="20">
        <v>267</v>
      </c>
      <c r="I9" s="30">
        <f t="shared" si="0"/>
        <v>1252</v>
      </c>
      <c r="J9" s="30">
        <f t="shared" si="1"/>
        <v>188</v>
      </c>
      <c r="K9" s="22" t="s">
        <v>49</v>
      </c>
      <c r="L9" s="22" t="s">
        <v>50</v>
      </c>
      <c r="M9" s="22" t="s">
        <v>51</v>
      </c>
      <c r="N9" s="23" t="s">
        <v>68</v>
      </c>
    </row>
    <row r="10" spans="1:15" s="31" customFormat="1" ht="13.8" x14ac:dyDescent="0.25">
      <c r="A10" s="19">
        <v>46255</v>
      </c>
      <c r="B10" s="20">
        <v>450</v>
      </c>
      <c r="C10" s="20">
        <v>30</v>
      </c>
      <c r="D10" s="20">
        <v>70</v>
      </c>
      <c r="E10" s="20">
        <v>70</v>
      </c>
      <c r="F10" s="20">
        <v>400</v>
      </c>
      <c r="G10" s="20">
        <v>6</v>
      </c>
      <c r="H10" s="20">
        <v>250</v>
      </c>
      <c r="I10" s="30">
        <f t="shared" si="0"/>
        <v>1270</v>
      </c>
      <c r="J10" s="30">
        <f t="shared" si="1"/>
        <v>170</v>
      </c>
      <c r="K10" s="22" t="s">
        <v>49</v>
      </c>
      <c r="L10" s="22" t="s">
        <v>50</v>
      </c>
      <c r="M10" s="22" t="s">
        <v>51</v>
      </c>
      <c r="N10" s="23" t="s">
        <v>69</v>
      </c>
    </row>
    <row r="11" spans="1:15" s="31" customFormat="1" ht="27.6" x14ac:dyDescent="0.25">
      <c r="A11" s="19">
        <v>46256</v>
      </c>
      <c r="B11" s="20">
        <v>420</v>
      </c>
      <c r="C11" s="20">
        <v>30</v>
      </c>
      <c r="D11" s="20">
        <v>120</v>
      </c>
      <c r="E11" s="20">
        <v>120</v>
      </c>
      <c r="F11" s="20">
        <v>0</v>
      </c>
      <c r="G11" s="20">
        <v>0</v>
      </c>
      <c r="H11" s="20">
        <v>250</v>
      </c>
      <c r="I11" s="30">
        <v>940</v>
      </c>
      <c r="J11" s="30">
        <f t="shared" si="1"/>
        <v>500</v>
      </c>
      <c r="K11" s="22" t="s">
        <v>49</v>
      </c>
      <c r="L11" s="22" t="s">
        <v>50</v>
      </c>
      <c r="M11" s="22" t="s">
        <v>59</v>
      </c>
      <c r="N11" s="23" t="s">
        <v>70</v>
      </c>
    </row>
    <row r="12" spans="1:15" s="31" customFormat="1" ht="27.6" x14ac:dyDescent="0.25">
      <c r="A12" s="19">
        <v>46257</v>
      </c>
      <c r="B12" s="20">
        <v>390</v>
      </c>
      <c r="C12" s="20">
        <v>30</v>
      </c>
      <c r="D12" s="20">
        <v>120</v>
      </c>
      <c r="E12" s="20">
        <v>120</v>
      </c>
      <c r="F12" s="20">
        <v>0</v>
      </c>
      <c r="G12" s="20">
        <v>0</v>
      </c>
      <c r="H12" s="20">
        <v>250</v>
      </c>
      <c r="I12" s="30">
        <v>910</v>
      </c>
      <c r="J12" s="30">
        <f t="shared" si="1"/>
        <v>530</v>
      </c>
      <c r="K12" s="22" t="s">
        <v>49</v>
      </c>
      <c r="L12" s="22" t="s">
        <v>50</v>
      </c>
      <c r="M12" s="22" t="s">
        <v>59</v>
      </c>
      <c r="N12" s="23" t="s">
        <v>70</v>
      </c>
      <c r="O12" s="31" t="s">
        <v>56</v>
      </c>
    </row>
    <row r="13" spans="1:15" s="31" customFormat="1" ht="13.8" x14ac:dyDescent="0.25">
      <c r="A13" s="19">
        <v>46258</v>
      </c>
      <c r="B13" s="20">
        <v>390</v>
      </c>
      <c r="C13" s="20">
        <v>30</v>
      </c>
      <c r="D13" s="20">
        <v>20</v>
      </c>
      <c r="E13" s="20">
        <v>75</v>
      </c>
      <c r="F13" s="20">
        <v>300</v>
      </c>
      <c r="G13" s="20">
        <v>6</v>
      </c>
      <c r="H13" s="20">
        <v>250</v>
      </c>
      <c r="I13" s="30">
        <v>1065</v>
      </c>
      <c r="J13" s="30">
        <f t="shared" si="1"/>
        <v>375</v>
      </c>
      <c r="K13" s="22" t="s">
        <v>49</v>
      </c>
      <c r="L13" s="22" t="s">
        <v>50</v>
      </c>
      <c r="M13" s="22" t="s">
        <v>51</v>
      </c>
      <c r="N13" s="23" t="s">
        <v>71</v>
      </c>
    </row>
    <row r="14" spans="1:15" s="31" customFormat="1" ht="13.8" x14ac:dyDescent="0.25">
      <c r="A14" s="19">
        <v>46259</v>
      </c>
      <c r="B14" s="20">
        <v>420</v>
      </c>
      <c r="C14" s="20">
        <v>30</v>
      </c>
      <c r="D14" s="20">
        <v>20</v>
      </c>
      <c r="E14" s="20">
        <v>75</v>
      </c>
      <c r="F14" s="20">
        <v>200</v>
      </c>
      <c r="G14" s="20">
        <v>4</v>
      </c>
      <c r="H14" s="20">
        <v>250</v>
      </c>
      <c r="I14" s="30">
        <v>995</v>
      </c>
      <c r="J14" s="30">
        <f t="shared" si="1"/>
        <v>445</v>
      </c>
      <c r="K14" s="22" t="s">
        <v>49</v>
      </c>
      <c r="L14" s="22" t="s">
        <v>50</v>
      </c>
      <c r="M14" s="22" t="s">
        <v>51</v>
      </c>
      <c r="N14" s="23" t="s">
        <v>71</v>
      </c>
    </row>
    <row r="15" spans="1:15" s="31" customFormat="1" ht="13.8" x14ac:dyDescent="0.25">
      <c r="A15" s="19">
        <v>46260</v>
      </c>
      <c r="B15" s="20">
        <v>360</v>
      </c>
      <c r="C15" s="20">
        <v>30</v>
      </c>
      <c r="D15" s="20">
        <v>20</v>
      </c>
      <c r="E15" s="20">
        <v>75</v>
      </c>
      <c r="F15" s="20">
        <v>400</v>
      </c>
      <c r="G15" s="20">
        <v>8</v>
      </c>
      <c r="H15" s="20">
        <v>250</v>
      </c>
      <c r="I15" s="30">
        <v>1135</v>
      </c>
      <c r="J15" s="30">
        <f t="shared" si="1"/>
        <v>305</v>
      </c>
      <c r="K15" s="22" t="s">
        <v>60</v>
      </c>
      <c r="L15" s="22" t="s">
        <v>50</v>
      </c>
      <c r="M15" s="22" t="s">
        <v>58</v>
      </c>
      <c r="N15" s="23" t="s">
        <v>72</v>
      </c>
    </row>
    <row r="16" spans="1:15" s="31" customFormat="1" ht="13.8" x14ac:dyDescent="0.25">
      <c r="A16" s="19">
        <v>46261</v>
      </c>
      <c r="B16" s="20">
        <v>390</v>
      </c>
      <c r="C16" s="20">
        <v>30</v>
      </c>
      <c r="D16" s="20">
        <v>20</v>
      </c>
      <c r="E16" s="20">
        <v>75</v>
      </c>
      <c r="F16" s="20">
        <v>200</v>
      </c>
      <c r="G16" s="20">
        <v>4</v>
      </c>
      <c r="H16" s="20">
        <v>250</v>
      </c>
      <c r="I16" s="30">
        <v>965</v>
      </c>
      <c r="J16" s="30">
        <f t="shared" si="1"/>
        <v>475</v>
      </c>
      <c r="K16" s="22" t="s">
        <v>49</v>
      </c>
      <c r="L16" s="22" t="s">
        <v>50</v>
      </c>
      <c r="M16" s="22" t="s">
        <v>51</v>
      </c>
      <c r="N16" s="23" t="s">
        <v>73</v>
      </c>
    </row>
    <row r="17" spans="1:14" s="31" customFormat="1" ht="13.8" x14ac:dyDescent="0.25">
      <c r="A17" s="19">
        <v>46262</v>
      </c>
      <c r="B17" s="20">
        <v>420</v>
      </c>
      <c r="C17" s="20">
        <v>30</v>
      </c>
      <c r="D17" s="20">
        <v>20</v>
      </c>
      <c r="E17" s="20">
        <v>75</v>
      </c>
      <c r="F17" s="20">
        <v>250</v>
      </c>
      <c r="G17" s="20">
        <v>5</v>
      </c>
      <c r="H17" s="20">
        <v>250</v>
      </c>
      <c r="I17" s="30">
        <v>1045</v>
      </c>
      <c r="J17" s="30">
        <f t="shared" si="1"/>
        <v>395</v>
      </c>
      <c r="K17" s="22" t="s">
        <v>49</v>
      </c>
      <c r="L17" s="22" t="s">
        <v>50</v>
      </c>
      <c r="M17" s="22" t="s">
        <v>51</v>
      </c>
      <c r="N17" s="23" t="s">
        <v>74</v>
      </c>
    </row>
    <row r="18" spans="1:14" s="31" customFormat="1" ht="27.6" x14ac:dyDescent="0.25">
      <c r="A18" s="19">
        <v>46263</v>
      </c>
      <c r="B18" s="20">
        <v>420</v>
      </c>
      <c r="C18" s="20">
        <v>30</v>
      </c>
      <c r="D18" s="20">
        <v>120</v>
      </c>
      <c r="E18" s="20">
        <v>120</v>
      </c>
      <c r="F18" s="20">
        <v>0</v>
      </c>
      <c r="G18" s="20">
        <v>0</v>
      </c>
      <c r="H18" s="20">
        <v>250</v>
      </c>
      <c r="I18" s="30">
        <v>940</v>
      </c>
      <c r="J18" s="30">
        <f t="shared" si="1"/>
        <v>500</v>
      </c>
      <c r="K18" s="22" t="s">
        <v>49</v>
      </c>
      <c r="L18" s="22" t="s">
        <v>50</v>
      </c>
      <c r="M18" s="22" t="s">
        <v>59</v>
      </c>
      <c r="N18" s="23" t="s">
        <v>70</v>
      </c>
    </row>
    <row r="19" spans="1:14" s="31" customFormat="1" ht="27.6" x14ac:dyDescent="0.25">
      <c r="A19" s="19">
        <v>46264</v>
      </c>
      <c r="B19" s="20">
        <v>390</v>
      </c>
      <c r="C19" s="20">
        <v>30</v>
      </c>
      <c r="D19" s="20">
        <v>120</v>
      </c>
      <c r="E19" s="20">
        <v>120</v>
      </c>
      <c r="F19" s="20">
        <v>0</v>
      </c>
      <c r="G19" s="20">
        <v>0</v>
      </c>
      <c r="H19" s="20">
        <v>250</v>
      </c>
      <c r="I19" s="30">
        <v>910</v>
      </c>
      <c r="J19" s="30">
        <f t="shared" si="1"/>
        <v>530</v>
      </c>
      <c r="K19" s="22" t="s">
        <v>49</v>
      </c>
      <c r="L19" s="22" t="s">
        <v>50</v>
      </c>
      <c r="M19" s="22" t="s">
        <v>59</v>
      </c>
      <c r="N19" s="23" t="s">
        <v>70</v>
      </c>
    </row>
    <row r="20" spans="1:14" s="31" customFormat="1" ht="13.8" x14ac:dyDescent="0.25">
      <c r="A20" s="19">
        <v>46265</v>
      </c>
      <c r="B20" s="20">
        <v>360</v>
      </c>
      <c r="C20" s="20">
        <v>30</v>
      </c>
      <c r="D20" s="20">
        <v>20</v>
      </c>
      <c r="E20" s="20">
        <v>75</v>
      </c>
      <c r="F20" s="20">
        <v>300</v>
      </c>
      <c r="G20" s="20">
        <v>6</v>
      </c>
      <c r="H20" s="20">
        <v>250</v>
      </c>
      <c r="I20" s="30">
        <v>1035</v>
      </c>
      <c r="J20" s="30">
        <f t="shared" si="1"/>
        <v>405</v>
      </c>
      <c r="K20" s="22" t="s">
        <v>49</v>
      </c>
      <c r="L20" s="22" t="s">
        <v>50</v>
      </c>
      <c r="M20" s="22" t="s">
        <v>51</v>
      </c>
      <c r="N20" s="23" t="s">
        <v>75</v>
      </c>
    </row>
    <row r="21" spans="1:14" s="31" customFormat="1" ht="13.8" x14ac:dyDescent="0.25">
      <c r="A21" s="19">
        <v>46266</v>
      </c>
      <c r="B21" s="20">
        <v>390</v>
      </c>
      <c r="C21" s="20">
        <v>30</v>
      </c>
      <c r="D21" s="20">
        <v>20</v>
      </c>
      <c r="E21" s="20">
        <v>75</v>
      </c>
      <c r="F21" s="20">
        <v>200</v>
      </c>
      <c r="G21" s="20">
        <v>4</v>
      </c>
      <c r="H21" s="20">
        <v>250</v>
      </c>
      <c r="I21" s="30">
        <v>965</v>
      </c>
      <c r="J21" s="30">
        <f t="shared" si="1"/>
        <v>475</v>
      </c>
      <c r="K21" s="22" t="s">
        <v>49</v>
      </c>
      <c r="L21" s="22" t="s">
        <v>50</v>
      </c>
      <c r="M21" s="22" t="s">
        <v>51</v>
      </c>
      <c r="N21" s="23" t="s">
        <v>71</v>
      </c>
    </row>
    <row r="22" spans="1:14" s="31" customFormat="1" ht="13.8" x14ac:dyDescent="0.25">
      <c r="A22" s="19">
        <v>46267</v>
      </c>
      <c r="B22" s="20">
        <v>420</v>
      </c>
      <c r="C22" s="20">
        <v>30</v>
      </c>
      <c r="D22" s="20">
        <v>20</v>
      </c>
      <c r="E22" s="20">
        <v>75</v>
      </c>
      <c r="F22" s="20">
        <v>400</v>
      </c>
      <c r="G22" s="20">
        <v>8</v>
      </c>
      <c r="H22" s="20">
        <v>250</v>
      </c>
      <c r="I22" s="30">
        <v>1195</v>
      </c>
      <c r="J22" s="30">
        <f t="shared" si="1"/>
        <v>245</v>
      </c>
      <c r="K22" s="22" t="s">
        <v>60</v>
      </c>
      <c r="L22" s="22" t="s">
        <v>50</v>
      </c>
      <c r="M22" s="22" t="s">
        <v>58</v>
      </c>
      <c r="N22" s="23" t="s">
        <v>76</v>
      </c>
    </row>
    <row r="23" spans="1:14" s="31" customFormat="1" ht="13.8" x14ac:dyDescent="0.25">
      <c r="A23" s="19">
        <v>46268</v>
      </c>
      <c r="B23" s="20">
        <v>390</v>
      </c>
      <c r="C23" s="20">
        <v>30</v>
      </c>
      <c r="D23" s="20">
        <v>20</v>
      </c>
      <c r="E23" s="20">
        <v>75</v>
      </c>
      <c r="F23" s="20">
        <v>200</v>
      </c>
      <c r="G23" s="20">
        <v>4</v>
      </c>
      <c r="H23" s="20">
        <v>250</v>
      </c>
      <c r="I23" s="30">
        <v>965</v>
      </c>
      <c r="J23" s="30">
        <f t="shared" si="1"/>
        <v>475</v>
      </c>
      <c r="K23" s="22" t="s">
        <v>49</v>
      </c>
      <c r="L23" s="22" t="s">
        <v>50</v>
      </c>
      <c r="M23" s="22" t="s">
        <v>51</v>
      </c>
      <c r="N23" s="23" t="s">
        <v>77</v>
      </c>
    </row>
    <row r="24" spans="1:14" s="31" customFormat="1" ht="13.8" x14ac:dyDescent="0.25">
      <c r="A24" s="19">
        <v>46269</v>
      </c>
      <c r="B24" s="20">
        <v>360</v>
      </c>
      <c r="C24" s="20">
        <v>30</v>
      </c>
      <c r="D24" s="20">
        <v>20</v>
      </c>
      <c r="E24" s="20">
        <v>75</v>
      </c>
      <c r="F24" s="20">
        <v>250</v>
      </c>
      <c r="G24" s="20">
        <v>5</v>
      </c>
      <c r="H24" s="20">
        <v>250</v>
      </c>
      <c r="I24" s="30">
        <v>985</v>
      </c>
      <c r="J24" s="30">
        <f t="shared" si="1"/>
        <v>455</v>
      </c>
      <c r="K24" s="22" t="s">
        <v>49</v>
      </c>
      <c r="L24" s="22" t="s">
        <v>50</v>
      </c>
      <c r="M24" s="22" t="s">
        <v>51</v>
      </c>
      <c r="N24" s="23" t="s">
        <v>75</v>
      </c>
    </row>
    <row r="25" spans="1:14" s="31" customFormat="1" ht="27.6" x14ac:dyDescent="0.25">
      <c r="A25" s="19">
        <v>46270</v>
      </c>
      <c r="B25" s="20">
        <v>420</v>
      </c>
      <c r="C25" s="20">
        <v>30</v>
      </c>
      <c r="D25" s="20">
        <v>120</v>
      </c>
      <c r="E25" s="20">
        <v>120</v>
      </c>
      <c r="F25" s="20">
        <v>0</v>
      </c>
      <c r="G25" s="20">
        <v>0</v>
      </c>
      <c r="H25" s="20">
        <v>250</v>
      </c>
      <c r="I25" s="30">
        <v>940</v>
      </c>
      <c r="J25" s="30">
        <f t="shared" si="1"/>
        <v>500</v>
      </c>
      <c r="K25" s="22" t="s">
        <v>49</v>
      </c>
      <c r="L25" s="22" t="s">
        <v>50</v>
      </c>
      <c r="M25" s="22" t="s">
        <v>59</v>
      </c>
      <c r="N25" s="23" t="s">
        <v>70</v>
      </c>
    </row>
    <row r="26" spans="1:14" s="31" customFormat="1" ht="27.6" x14ac:dyDescent="0.25">
      <c r="A26" s="19">
        <v>46271</v>
      </c>
      <c r="B26" s="20">
        <v>390</v>
      </c>
      <c r="C26" s="20">
        <v>30</v>
      </c>
      <c r="D26" s="20">
        <v>120</v>
      </c>
      <c r="E26" s="20">
        <v>120</v>
      </c>
      <c r="F26" s="20">
        <v>0</v>
      </c>
      <c r="G26" s="20">
        <v>0</v>
      </c>
      <c r="H26" s="20">
        <v>250</v>
      </c>
      <c r="I26" s="30">
        <v>910</v>
      </c>
      <c r="J26" s="30">
        <f t="shared" si="1"/>
        <v>530</v>
      </c>
      <c r="K26" s="22" t="s">
        <v>49</v>
      </c>
      <c r="L26" s="22" t="s">
        <v>50</v>
      </c>
      <c r="M26" s="22" t="s">
        <v>59</v>
      </c>
      <c r="N26" s="23" t="s">
        <v>70</v>
      </c>
    </row>
    <row r="27" spans="1:14" s="31" customFormat="1" ht="13.8" x14ac:dyDescent="0.25">
      <c r="A27" s="19">
        <v>46272</v>
      </c>
      <c r="B27" s="20">
        <v>390</v>
      </c>
      <c r="C27" s="20">
        <v>30</v>
      </c>
      <c r="D27" s="20">
        <v>20</v>
      </c>
      <c r="E27" s="20">
        <v>75</v>
      </c>
      <c r="F27" s="20">
        <v>300</v>
      </c>
      <c r="G27" s="20">
        <v>6</v>
      </c>
      <c r="H27" s="20">
        <v>250</v>
      </c>
      <c r="I27" s="30">
        <v>1065</v>
      </c>
      <c r="J27" s="30">
        <f t="shared" si="1"/>
        <v>375</v>
      </c>
      <c r="K27" s="22" t="s">
        <v>49</v>
      </c>
      <c r="L27" s="22" t="s">
        <v>50</v>
      </c>
      <c r="M27" s="22" t="s">
        <v>51</v>
      </c>
      <c r="N27" s="23" t="s">
        <v>78</v>
      </c>
    </row>
    <row r="28" spans="1:14" s="31" customFormat="1" ht="41.4" x14ac:dyDescent="0.25">
      <c r="A28" s="19">
        <v>46273</v>
      </c>
      <c r="B28" s="20">
        <v>420</v>
      </c>
      <c r="C28" s="20">
        <v>30</v>
      </c>
      <c r="D28" s="20">
        <v>20</v>
      </c>
      <c r="E28" s="20">
        <v>75</v>
      </c>
      <c r="F28" s="20">
        <v>200</v>
      </c>
      <c r="G28" s="20">
        <v>4</v>
      </c>
      <c r="H28" s="20">
        <v>250</v>
      </c>
      <c r="I28" s="30">
        <f t="shared" si="0"/>
        <v>995</v>
      </c>
      <c r="J28" s="30">
        <f t="shared" si="1"/>
        <v>445</v>
      </c>
      <c r="K28" s="22" t="s">
        <v>49</v>
      </c>
      <c r="L28" s="22" t="s">
        <v>50</v>
      </c>
      <c r="M28" s="22" t="s">
        <v>51</v>
      </c>
      <c r="N28" s="23" t="s">
        <v>61</v>
      </c>
    </row>
    <row r="29" spans="1:14" s="31" customFormat="1" ht="41.4" x14ac:dyDescent="0.25">
      <c r="A29" s="19">
        <v>46274</v>
      </c>
      <c r="B29" s="20">
        <v>390</v>
      </c>
      <c r="C29" s="20">
        <v>30</v>
      </c>
      <c r="D29" s="20">
        <v>20</v>
      </c>
      <c r="E29" s="20">
        <v>75</v>
      </c>
      <c r="F29" s="20">
        <v>400</v>
      </c>
      <c r="G29" s="20">
        <v>8</v>
      </c>
      <c r="H29" s="20">
        <v>250</v>
      </c>
      <c r="I29" s="30">
        <v>1135</v>
      </c>
      <c r="J29" s="30">
        <f t="shared" si="1"/>
        <v>305</v>
      </c>
      <c r="K29" s="22" t="s">
        <v>60</v>
      </c>
      <c r="L29" s="22" t="s">
        <v>50</v>
      </c>
      <c r="M29" s="22" t="s">
        <v>58</v>
      </c>
      <c r="N29" s="23" t="s">
        <v>79</v>
      </c>
    </row>
    <row r="30" spans="1:14" s="31" customFormat="1" ht="41.4" x14ac:dyDescent="0.25">
      <c r="A30" s="19">
        <v>46275</v>
      </c>
      <c r="B30" s="20">
        <v>390</v>
      </c>
      <c r="C30" s="20">
        <v>30</v>
      </c>
      <c r="D30" s="20">
        <v>20</v>
      </c>
      <c r="E30" s="20">
        <v>75</v>
      </c>
      <c r="F30" s="20">
        <v>200</v>
      </c>
      <c r="G30" s="20">
        <v>4</v>
      </c>
      <c r="H30" s="20">
        <v>250</v>
      </c>
      <c r="I30" s="30">
        <f t="shared" si="0"/>
        <v>965</v>
      </c>
      <c r="J30" s="30">
        <f t="shared" si="1"/>
        <v>475</v>
      </c>
      <c r="K30" s="22" t="s">
        <v>49</v>
      </c>
      <c r="L30" s="22" t="s">
        <v>50</v>
      </c>
      <c r="M30" s="22" t="s">
        <v>51</v>
      </c>
      <c r="N30" s="23" t="s">
        <v>80</v>
      </c>
    </row>
    <row r="31" spans="1:14" s="31" customFormat="1" ht="27.6" x14ac:dyDescent="0.25">
      <c r="A31" s="19">
        <v>46276</v>
      </c>
      <c r="B31" s="20">
        <v>420</v>
      </c>
      <c r="C31" s="20">
        <v>30</v>
      </c>
      <c r="D31" s="20">
        <v>20</v>
      </c>
      <c r="E31" s="20">
        <v>75</v>
      </c>
      <c r="F31" s="20">
        <v>250</v>
      </c>
      <c r="G31" s="20">
        <v>5</v>
      </c>
      <c r="H31" s="20">
        <v>250</v>
      </c>
      <c r="I31" s="30">
        <f t="shared" si="0"/>
        <v>1045</v>
      </c>
      <c r="J31" s="30">
        <f t="shared" si="1"/>
        <v>395</v>
      </c>
      <c r="K31" s="22" t="s">
        <v>49</v>
      </c>
      <c r="L31" s="22" t="s">
        <v>50</v>
      </c>
      <c r="M31" s="22" t="s">
        <v>51</v>
      </c>
      <c r="N31" s="23" t="s">
        <v>81</v>
      </c>
    </row>
    <row r="32" spans="1:14" s="31" customFormat="1" ht="41.4" x14ac:dyDescent="0.25">
      <c r="A32" s="19">
        <v>46277</v>
      </c>
      <c r="B32" s="20">
        <v>390</v>
      </c>
      <c r="C32" s="20">
        <v>30</v>
      </c>
      <c r="D32" s="20">
        <v>120</v>
      </c>
      <c r="E32" s="20">
        <v>140</v>
      </c>
      <c r="F32" s="20">
        <v>0</v>
      </c>
      <c r="G32" s="20">
        <v>0</v>
      </c>
      <c r="H32" s="20">
        <v>250</v>
      </c>
      <c r="I32" s="30">
        <f t="shared" si="0"/>
        <v>930</v>
      </c>
      <c r="J32" s="30">
        <f t="shared" si="1"/>
        <v>510</v>
      </c>
      <c r="K32" s="22" t="s">
        <v>49</v>
      </c>
      <c r="L32" s="22" t="s">
        <v>50</v>
      </c>
      <c r="M32" s="22" t="s">
        <v>59</v>
      </c>
      <c r="N32" s="23" t="s">
        <v>82</v>
      </c>
    </row>
    <row r="33" spans="1:14" s="31" customFormat="1" ht="41.4" x14ac:dyDescent="0.25">
      <c r="A33" s="19">
        <v>46278</v>
      </c>
      <c r="B33" s="20">
        <v>390</v>
      </c>
      <c r="C33" s="20">
        <v>30</v>
      </c>
      <c r="D33" s="20">
        <v>130</v>
      </c>
      <c r="E33" s="20">
        <v>120</v>
      </c>
      <c r="F33" s="20">
        <v>0</v>
      </c>
      <c r="G33" s="20">
        <v>0</v>
      </c>
      <c r="H33" s="20">
        <v>250</v>
      </c>
      <c r="I33" s="30">
        <f t="shared" si="0"/>
        <v>920</v>
      </c>
      <c r="J33" s="30">
        <f t="shared" si="1"/>
        <v>520</v>
      </c>
      <c r="K33" s="22" t="s">
        <v>49</v>
      </c>
      <c r="L33" s="22" t="s">
        <v>62</v>
      </c>
      <c r="M33" s="22" t="s">
        <v>59</v>
      </c>
      <c r="N33" s="23" t="s">
        <v>83</v>
      </c>
    </row>
    <row r="34" spans="1:14" s="31" customFormat="1" ht="55.2" x14ac:dyDescent="0.25">
      <c r="A34" s="19">
        <v>46279</v>
      </c>
      <c r="B34" s="20">
        <v>390</v>
      </c>
      <c r="C34" s="20">
        <v>30</v>
      </c>
      <c r="D34" s="20">
        <v>20</v>
      </c>
      <c r="E34" s="20">
        <v>75</v>
      </c>
      <c r="F34" s="20">
        <v>300</v>
      </c>
      <c r="G34" s="20">
        <v>6</v>
      </c>
      <c r="H34" s="20">
        <v>250</v>
      </c>
      <c r="I34" s="30">
        <f t="shared" si="0"/>
        <v>1065</v>
      </c>
      <c r="J34" s="30">
        <f t="shared" si="1"/>
        <v>375</v>
      </c>
      <c r="K34" s="22" t="s">
        <v>86</v>
      </c>
      <c r="L34" s="22" t="s">
        <v>63</v>
      </c>
      <c r="M34" s="22" t="s">
        <v>51</v>
      </c>
      <c r="N34" s="23" t="s">
        <v>64</v>
      </c>
    </row>
    <row r="35" spans="1:14" x14ac:dyDescent="0.3">
      <c r="A35" s="32">
        <v>46280</v>
      </c>
      <c r="B35" s="9">
        <v>420</v>
      </c>
      <c r="C35" s="9">
        <v>15</v>
      </c>
      <c r="D35" s="9">
        <v>15</v>
      </c>
      <c r="E35" s="9">
        <v>60</v>
      </c>
      <c r="F35" s="9">
        <v>200</v>
      </c>
      <c r="G35" s="9">
        <v>4</v>
      </c>
      <c r="H35" s="9">
        <v>200</v>
      </c>
      <c r="I35" s="10">
        <f t="shared" si="0"/>
        <v>910</v>
      </c>
      <c r="J35" s="10">
        <f t="shared" si="1"/>
        <v>530</v>
      </c>
      <c r="K35" s="11" t="s">
        <v>49</v>
      </c>
      <c r="L35" s="11" t="s">
        <v>57</v>
      </c>
      <c r="M35" s="11" t="s">
        <v>58</v>
      </c>
      <c r="N35" s="12" t="s">
        <v>67</v>
      </c>
    </row>
    <row r="36" spans="1:14" ht="28.8" x14ac:dyDescent="0.3">
      <c r="A36" s="8">
        <v>46281</v>
      </c>
      <c r="B36" s="9">
        <v>380</v>
      </c>
      <c r="C36" s="9">
        <v>0</v>
      </c>
      <c r="D36" s="9">
        <v>20</v>
      </c>
      <c r="E36" s="9">
        <v>55</v>
      </c>
      <c r="F36" s="9">
        <v>400</v>
      </c>
      <c r="G36" s="9">
        <v>8</v>
      </c>
      <c r="H36" s="9">
        <v>240</v>
      </c>
      <c r="I36" s="10">
        <f t="shared" si="0"/>
        <v>1095</v>
      </c>
      <c r="J36" s="10">
        <f t="shared" si="1"/>
        <v>345</v>
      </c>
      <c r="K36" s="11" t="s">
        <v>58</v>
      </c>
      <c r="L36" s="11" t="s">
        <v>50</v>
      </c>
      <c r="M36" s="11" t="s">
        <v>58</v>
      </c>
      <c r="N36" s="12" t="s">
        <v>84</v>
      </c>
    </row>
    <row r="37" spans="1:14" x14ac:dyDescent="0.3">
      <c r="A37" s="8">
        <v>46282</v>
      </c>
      <c r="B37" s="9">
        <v>390</v>
      </c>
      <c r="C37" s="9">
        <v>20</v>
      </c>
      <c r="D37" s="9">
        <v>30</v>
      </c>
      <c r="E37" s="9">
        <v>40</v>
      </c>
      <c r="F37" s="9">
        <v>200</v>
      </c>
      <c r="G37" s="9">
        <v>4</v>
      </c>
      <c r="H37" s="9">
        <v>260</v>
      </c>
      <c r="I37" s="10">
        <f t="shared" si="0"/>
        <v>940</v>
      </c>
      <c r="J37" s="10">
        <f t="shared" si="1"/>
        <v>500</v>
      </c>
      <c r="K37" s="11" t="s">
        <v>49</v>
      </c>
      <c r="L37" s="11" t="s">
        <v>50</v>
      </c>
      <c r="M37" s="11" t="s">
        <v>51</v>
      </c>
      <c r="N37" s="12" t="s">
        <v>91</v>
      </c>
    </row>
    <row r="38" spans="1:14" x14ac:dyDescent="0.3">
      <c r="A38" s="8">
        <v>46283</v>
      </c>
      <c r="B38" s="9">
        <v>420</v>
      </c>
      <c r="C38" s="9">
        <v>10</v>
      </c>
      <c r="D38" s="9">
        <v>30</v>
      </c>
      <c r="E38" s="9">
        <v>45</v>
      </c>
      <c r="F38" s="33">
        <v>250</v>
      </c>
      <c r="G38" s="34">
        <v>5</v>
      </c>
      <c r="H38" s="9">
        <v>300</v>
      </c>
      <c r="I38" s="10">
        <f>IF(SUM(B38:E38,H38)=0,"",SUM(B38:E38,H38))</f>
        <v>805</v>
      </c>
      <c r="J38" s="10">
        <f t="shared" si="1"/>
        <v>635</v>
      </c>
      <c r="K38" s="11" t="s">
        <v>57</v>
      </c>
      <c r="L38" s="11" t="s">
        <v>50</v>
      </c>
      <c r="M38" s="11" t="s">
        <v>58</v>
      </c>
      <c r="N38" s="12" t="s">
        <v>90</v>
      </c>
    </row>
    <row r="39" spans="1:14" ht="28.8" x14ac:dyDescent="0.3">
      <c r="A39" s="8">
        <v>46284</v>
      </c>
      <c r="B39" s="9">
        <v>390</v>
      </c>
      <c r="C39" s="9">
        <v>0</v>
      </c>
      <c r="D39" s="9">
        <v>140</v>
      </c>
      <c r="E39" s="9">
        <v>110</v>
      </c>
      <c r="F39" s="9">
        <v>0</v>
      </c>
      <c r="G39" s="9">
        <v>0</v>
      </c>
      <c r="H39" s="9">
        <v>250</v>
      </c>
      <c r="I39" s="10">
        <f t="shared" si="0"/>
        <v>890</v>
      </c>
      <c r="J39" s="10">
        <f t="shared" si="1"/>
        <v>550</v>
      </c>
      <c r="K39" s="11" t="s">
        <v>49</v>
      </c>
      <c r="L39" s="11" t="s">
        <v>50</v>
      </c>
      <c r="M39" s="11" t="s">
        <v>59</v>
      </c>
      <c r="N39" s="12" t="s">
        <v>89</v>
      </c>
    </row>
    <row r="40" spans="1:14" x14ac:dyDescent="0.3">
      <c r="A40" s="8">
        <v>46285</v>
      </c>
      <c r="B40" s="9">
        <v>390</v>
      </c>
      <c r="C40" s="9">
        <v>0</v>
      </c>
      <c r="D40" s="9">
        <v>150</v>
      </c>
      <c r="E40" s="9">
        <v>120</v>
      </c>
      <c r="F40" s="9">
        <v>0</v>
      </c>
      <c r="G40" s="9">
        <v>0</v>
      </c>
      <c r="H40" s="9">
        <v>300</v>
      </c>
      <c r="I40" s="10">
        <f t="shared" si="0"/>
        <v>960</v>
      </c>
      <c r="J40" s="10">
        <f t="shared" si="1"/>
        <v>480</v>
      </c>
      <c r="K40" s="11" t="s">
        <v>49</v>
      </c>
      <c r="L40" s="11" t="s">
        <v>50</v>
      </c>
      <c r="M40" s="11" t="s">
        <v>51</v>
      </c>
      <c r="N40" s="12" t="s">
        <v>88</v>
      </c>
    </row>
    <row r="41" spans="1:14" x14ac:dyDescent="0.3">
      <c r="A41" s="8">
        <v>46286</v>
      </c>
      <c r="B41" s="9">
        <v>420</v>
      </c>
      <c r="C41" s="9">
        <v>10</v>
      </c>
      <c r="D41" s="9">
        <v>20</v>
      </c>
      <c r="E41" s="9">
        <v>75</v>
      </c>
      <c r="F41" s="9">
        <v>300</v>
      </c>
      <c r="G41" s="9">
        <v>6</v>
      </c>
      <c r="H41" s="9">
        <v>240</v>
      </c>
      <c r="I41" s="10">
        <f t="shared" si="0"/>
        <v>1065</v>
      </c>
      <c r="J41" s="10">
        <f t="shared" si="1"/>
        <v>375</v>
      </c>
      <c r="K41" s="11" t="s">
        <v>49</v>
      </c>
      <c r="L41" s="11" t="s">
        <v>85</v>
      </c>
      <c r="M41" s="11" t="s">
        <v>51</v>
      </c>
      <c r="N41" s="12" t="s">
        <v>87</v>
      </c>
    </row>
    <row r="42" spans="1:14" x14ac:dyDescent="0.3">
      <c r="A42" s="8">
        <v>46287</v>
      </c>
      <c r="B42" s="9">
        <v>420</v>
      </c>
      <c r="C42" s="9">
        <v>10</v>
      </c>
      <c r="D42" s="9">
        <v>30</v>
      </c>
      <c r="E42" s="9">
        <v>60</v>
      </c>
      <c r="F42" s="9">
        <v>200</v>
      </c>
      <c r="G42" s="9">
        <v>4</v>
      </c>
      <c r="H42" s="9">
        <v>300</v>
      </c>
      <c r="I42" s="10">
        <f t="shared" si="0"/>
        <v>1020</v>
      </c>
      <c r="J42" s="10">
        <f t="shared" si="1"/>
        <v>420</v>
      </c>
      <c r="K42" s="11" t="s">
        <v>57</v>
      </c>
      <c r="L42" s="11" t="s">
        <v>50</v>
      </c>
      <c r="M42" s="11" t="s">
        <v>51</v>
      </c>
      <c r="N42" s="12" t="s">
        <v>73</v>
      </c>
    </row>
    <row r="43" spans="1:14" x14ac:dyDescent="0.3">
      <c r="A43" s="8"/>
      <c r="B43" s="9"/>
      <c r="C43" s="9"/>
      <c r="D43" s="9"/>
      <c r="E43" s="9"/>
      <c r="F43" s="9"/>
      <c r="G43" s="9"/>
      <c r="H43" s="9"/>
      <c r="I43" s="10" t="str">
        <f t="shared" si="0"/>
        <v/>
      </c>
      <c r="J43" s="10" t="str">
        <f t="shared" si="1"/>
        <v/>
      </c>
      <c r="K43" s="11"/>
      <c r="L43" s="11"/>
      <c r="M43" s="11"/>
      <c r="N43" s="12"/>
    </row>
    <row r="44" spans="1:14" x14ac:dyDescent="0.3">
      <c r="A44" s="8"/>
      <c r="B44" s="9"/>
      <c r="C44" s="9"/>
      <c r="D44" s="9"/>
      <c r="E44" s="9"/>
      <c r="F44" s="9"/>
      <c r="G44" s="9"/>
      <c r="H44" s="9"/>
      <c r="I44" s="10" t="str">
        <f t="shared" si="0"/>
        <v/>
      </c>
      <c r="J44" s="10" t="str">
        <f t="shared" si="1"/>
        <v/>
      </c>
      <c r="K44" s="11"/>
      <c r="L44" s="11"/>
      <c r="M44" s="11"/>
      <c r="N44" s="12"/>
    </row>
    <row r="45" spans="1:14" x14ac:dyDescent="0.3">
      <c r="A45" s="8"/>
      <c r="B45" s="9"/>
      <c r="C45" s="9"/>
      <c r="D45" s="9"/>
      <c r="E45" s="9"/>
      <c r="F45" s="9"/>
      <c r="G45" s="9"/>
      <c r="H45" s="9"/>
      <c r="I45" s="10" t="str">
        <f t="shared" si="0"/>
        <v/>
      </c>
      <c r="J45" s="10" t="str">
        <f t="shared" si="1"/>
        <v/>
      </c>
      <c r="K45" s="11"/>
      <c r="L45" s="11"/>
      <c r="M45" s="11"/>
      <c r="N45" s="12"/>
    </row>
    <row r="46" spans="1:14" x14ac:dyDescent="0.3">
      <c r="A46" s="8"/>
      <c r="B46" s="9"/>
      <c r="C46" s="9"/>
      <c r="D46" s="9"/>
      <c r="E46" s="9"/>
      <c r="F46" s="9"/>
      <c r="G46" s="9"/>
      <c r="H46" s="9"/>
      <c r="I46" s="10" t="str">
        <f t="shared" si="0"/>
        <v/>
      </c>
      <c r="J46" s="10" t="str">
        <f t="shared" si="1"/>
        <v/>
      </c>
      <c r="K46" s="11"/>
      <c r="L46" s="11"/>
      <c r="M46" s="11"/>
      <c r="N46" s="12"/>
    </row>
    <row r="47" spans="1:14" x14ac:dyDescent="0.3">
      <c r="A47" s="8"/>
      <c r="B47" s="9"/>
      <c r="C47" s="9"/>
      <c r="D47" s="9"/>
      <c r="E47" s="9"/>
      <c r="F47" s="9"/>
      <c r="G47" s="9"/>
      <c r="H47" s="9"/>
      <c r="I47" s="10" t="str">
        <f t="shared" si="0"/>
        <v/>
      </c>
      <c r="J47" s="10" t="str">
        <f t="shared" si="1"/>
        <v/>
      </c>
      <c r="K47" s="11"/>
      <c r="L47" s="11"/>
      <c r="M47" s="11"/>
      <c r="N47" s="12"/>
    </row>
    <row r="48" spans="1:14" x14ac:dyDescent="0.3">
      <c r="A48" s="8"/>
      <c r="B48" s="9"/>
      <c r="C48" s="9"/>
      <c r="D48" s="9"/>
      <c r="E48" s="9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 x14ac:dyDescent="0.3">
      <c r="A49" s="8"/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 x14ac:dyDescent="0.3">
      <c r="A50" s="8"/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 x14ac:dyDescent="0.3">
      <c r="A51" s="8"/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 x14ac:dyDescent="0.3">
      <c r="A52" s="8"/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x14ac:dyDescent="0.3">
      <c r="A53" s="8"/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x14ac:dyDescent="0.3">
      <c r="A54" s="8"/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x14ac:dyDescent="0.3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x14ac:dyDescent="0.3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x14ac:dyDescent="0.3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x14ac:dyDescent="0.3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x14ac:dyDescent="0.3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x14ac:dyDescent="0.3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x14ac:dyDescent="0.3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 t="str">
        <f t="shared" si="0"/>
        <v/>
      </c>
      <c r="J69" s="10" t="str">
        <f t="shared" si="1"/>
        <v/>
      </c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 t="str">
        <f t="shared" si="0"/>
        <v/>
      </c>
      <c r="J70" s="10" t="str">
        <f t="shared" si="1"/>
        <v/>
      </c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ref="I71:I134" si="2">IF(SUM(B71:F71,H71)=0,"",SUM(B71:F71,H71))</f>
        <v/>
      </c>
      <c r="J71" s="10" t="str">
        <f t="shared" ref="J71:J134" si="3">IF(I71="","",1440-I71)</f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2"/>
        <v/>
      </c>
      <c r="J72" s="10" t="str">
        <f t="shared" si="3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si="2"/>
        <v/>
      </c>
      <c r="J133" s="10" t="str">
        <f t="shared" si="3"/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si="2"/>
        <v/>
      </c>
      <c r="J134" s="10" t="str">
        <f t="shared" si="3"/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ref="I135:I198" si="4">IF(SUM(B135:F135,H135)=0,"",SUM(B135:F135,H135))</f>
        <v/>
      </c>
      <c r="J135" s="10" t="str">
        <f t="shared" ref="J135:J198" si="5">IF(I135="","",1440-I135)</f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si="4"/>
        <v/>
      </c>
      <c r="J197" s="10" t="str">
        <f t="shared" si="5"/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si="4"/>
        <v/>
      </c>
      <c r="J198" s="10" t="str">
        <f t="shared" si="5"/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ref="I199:I262" si="6">IF(SUM(B199:F199,H199)=0,"",SUM(B199:F199,H199))</f>
        <v/>
      </c>
      <c r="J199" s="10" t="str">
        <f t="shared" ref="J199:J262" si="7">IF(I199="","",1440-I199)</f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6"/>
        <v/>
      </c>
      <c r="J261" s="10" t="str">
        <f t="shared" si="7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si="6"/>
        <v/>
      </c>
      <c r="J262" s="10" t="str">
        <f t="shared" si="7"/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ref="I263:I326" si="8">IF(SUM(B263:F263,H263)=0,"",SUM(B263:F263,H263))</f>
        <v/>
      </c>
      <c r="J263" s="10" t="str">
        <f t="shared" ref="J263:J326" si="9">IF(I263="","",1440-I263)</f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8"/>
        <v/>
      </c>
      <c r="J325" s="10" t="str">
        <f t="shared" si="9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si="8"/>
        <v/>
      </c>
      <c r="J326" s="10" t="str">
        <f t="shared" si="9"/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ref="I327:I390" si="10">IF(SUM(B327:F327,H327)=0,"",SUM(B327:F327,H327))</f>
        <v/>
      </c>
      <c r="J327" s="10" t="str">
        <f t="shared" ref="J327:J390" si="11">IF(I327="","",1440-I327)</f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10"/>
        <v/>
      </c>
      <c r="J389" s="10" t="str">
        <f t="shared" si="11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si="10"/>
        <v/>
      </c>
      <c r="J390" s="10" t="str">
        <f t="shared" si="11"/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ref="I391:I402" si="12">IF(SUM(B391:F391,H391)=0,"",SUM(B391:F391,H391))</f>
        <v/>
      </c>
      <c r="J391" s="10" t="str">
        <f t="shared" ref="J391:J402" si="13">IF(I391="","",1440-I391)</f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2"/>
        <v/>
      </c>
      <c r="J400" s="10" t="str">
        <f t="shared" si="13"/>
        <v/>
      </c>
      <c r="K400" s="11"/>
      <c r="L400" s="11"/>
      <c r="M400" s="11"/>
      <c r="N400" s="12"/>
    </row>
    <row r="401" spans="1:14" x14ac:dyDescent="0.3">
      <c r="A401" s="8"/>
      <c r="B401" s="9"/>
      <c r="C401" s="9"/>
      <c r="D401" s="9"/>
      <c r="E401" s="9"/>
      <c r="F401" s="9"/>
      <c r="G401" s="9"/>
      <c r="H401" s="9"/>
      <c r="I401" s="10" t="str">
        <f t="shared" si="12"/>
        <v/>
      </c>
      <c r="J401" s="10" t="str">
        <f t="shared" si="13"/>
        <v/>
      </c>
      <c r="K401" s="11"/>
      <c r="L401" s="11"/>
      <c r="M401" s="11"/>
      <c r="N401" s="12"/>
    </row>
    <row r="402" spans="1:14" x14ac:dyDescent="0.3">
      <c r="A402" s="8"/>
      <c r="B402" s="9"/>
      <c r="C402" s="9"/>
      <c r="D402" s="9"/>
      <c r="E402" s="9"/>
      <c r="F402" s="9"/>
      <c r="G402" s="9"/>
      <c r="H402" s="9"/>
      <c r="I402" s="10" t="str">
        <f t="shared" si="12"/>
        <v/>
      </c>
      <c r="J402" s="10" t="str">
        <f t="shared" si="13"/>
        <v/>
      </c>
      <c r="K402" s="11"/>
      <c r="L402" s="11"/>
      <c r="M402" s="11"/>
      <c r="N402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2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2" xr:uid="{00000000-0002-0000-0100-000000000000}">
      <formula1>"Excellent,Good,Neutral,Low,Stressed"</formula1>
      <formula2>0</formula2>
    </dataValidation>
    <dataValidation type="list" allowBlank="1" prompt="Select today's satisfaction level" sqref="L6:L402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2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Rumpa Bera</cp:lastModifiedBy>
  <cp:revision>0</cp:revision>
  <dcterms:created xsi:type="dcterms:W3CDTF">2026-07-24T11:49:30Z</dcterms:created>
  <dcterms:modified xsi:type="dcterms:W3CDTF">2026-09-22T18:54:50Z</dcterms:modified>
  <dc:language>en-US</dc:language>
</cp:coreProperties>
</file>